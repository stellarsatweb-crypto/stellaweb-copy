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e\Downloads\"/>
    </mc:Choice>
  </mc:AlternateContent>
  <xr:revisionPtr revIDLastSave="0" documentId="13_ncr:1_{B95E10BF-324B-4A2D-A755-DAA8661525C1}" xr6:coauthVersionLast="47" xr6:coauthVersionMax="47" xr10:uidLastSave="{00000000-0000-0000-0000-000000000000}"/>
  <bookViews>
    <workbookView xWindow="-108" yWindow="-108" windowWidth="23256" windowHeight="13176" firstSheet="2" activeTab="2" xr2:uid="{00000000-000D-0000-FFFF-FFFF00000000}"/>
  </bookViews>
  <sheets>
    <sheet name="Functionality" sheetId="1" r:id="rId1"/>
    <sheet name="OpenEnded" sheetId="10" r:id="rId2"/>
    <sheet name="Maintainability" sheetId="9" r:id="rId3"/>
    <sheet name="Compatibility&amp;Portability" sheetId="8" r:id="rId4"/>
    <sheet name="Security" sheetId="7" r:id="rId5"/>
    <sheet name="PerformanceEfficiency" sheetId="6" r:id="rId6"/>
    <sheet name="Reliability" sheetId="5" r:id="rId7"/>
    <sheet name="Usability" sheetId="4" r:id="rId8"/>
    <sheet name="Demographic Profile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8" i="5" l="1"/>
  <c r="AI2" i="5"/>
  <c r="AI3" i="5"/>
  <c r="AI4" i="5"/>
  <c r="AI5" i="5"/>
  <c r="AI6" i="5"/>
  <c r="AI1" i="5"/>
  <c r="AI8" i="6"/>
  <c r="AI2" i="6"/>
  <c r="AI3" i="6"/>
  <c r="AI4" i="6"/>
  <c r="AI5" i="6"/>
  <c r="AI6" i="6"/>
  <c r="AI1" i="6"/>
  <c r="AI7" i="9"/>
  <c r="AI2" i="9"/>
  <c r="AI3" i="9"/>
  <c r="AI4" i="9"/>
  <c r="AI5" i="9"/>
  <c r="AI1" i="9"/>
  <c r="AH2" i="9"/>
  <c r="AH3" i="9"/>
  <c r="AH4" i="9"/>
  <c r="AH5" i="9"/>
  <c r="AH1" i="9"/>
</calcChain>
</file>

<file path=xl/sharedStrings.xml><?xml version="1.0" encoding="utf-8"?>
<sst xmlns="http://schemas.openxmlformats.org/spreadsheetml/2006/main" count="294" uniqueCount="115">
  <si>
    <t>Question</t>
  </si>
  <si>
    <t>FUNCTIONALITY</t>
  </si>
  <si>
    <t>The dispenser accurately releases the correct medication at the scheduled time.</t>
  </si>
  <si>
    <t>The mobile application sends alerts and reminders on time.</t>
  </si>
  <si>
    <t>The system correctly records and updates medication intake history.</t>
  </si>
  <si>
    <t>The dispenser correctly detects and handles missed or delayed doses.</t>
  </si>
  <si>
    <t>The hardware and software work together seamlessly to perform their functions.</t>
  </si>
  <si>
    <t>USABILITY</t>
  </si>
  <si>
    <t>The user interface of the mobile app is simple and easy to navigate.</t>
  </si>
  <si>
    <t>The dispenser’s buttons, switches, and indicators are easy to identify and use.</t>
  </si>
  <si>
    <t>The system provides clear visual or audible feedback when dispensing medication.</t>
  </si>
  <si>
    <t>I can operate both the dispenser and app with minimal assistance.</t>
  </si>
  <si>
    <t>The dispenser is ergonomically designed and easy to handle or place at home.</t>
  </si>
  <si>
    <t>RELIABILITY</t>
  </si>
  <si>
    <t>The dispenser operates consistently without mechanical malfunction.</t>
  </si>
  <si>
    <t>The system continues to function properly after repeated use.</t>
  </si>
  <si>
    <t>The app records medication data accurately without loss or error.</t>
  </si>
  <si>
    <t>Notifications and alerts remain reliable throughout usage.</t>
  </si>
  <si>
    <t>The hardware components perform reliably during operation.</t>
  </si>
  <si>
    <t>The dispenser can recover or resume properly after a power interruption.</t>
  </si>
  <si>
    <t>PERFORMANCE EFFICIENCY</t>
  </si>
  <si>
    <t>The dispenser dispenses medication smoothly and on time.</t>
  </si>
  <si>
    <t>The system performs efficiently without unnecessary delays.</t>
  </si>
  <si>
    <t>The mobile app loads quickly and responds promptly.</t>
  </si>
  <si>
    <t>The system works properly even under weak Wi-Fi.</t>
  </si>
  <si>
    <t>The dispenser operates efficiently without overheating or excessive noise.</t>
  </si>
  <si>
    <t>The hardware performs well within its intended battery or power capacity.</t>
  </si>
  <si>
    <t>SECURITY</t>
  </si>
  <si>
    <t>The system protects personal and medication data from unauthorized access.</t>
  </si>
  <si>
    <t>Access to the mobile app is restricted to registered users.</t>
  </si>
  <si>
    <t>The dispenser’s physical access is secure and prevents tampering.</t>
  </si>
  <si>
    <t>I feel confident that my personal information is safely stored.</t>
  </si>
  <si>
    <t>COMPATIBILITY &amp; PORTABILITY</t>
  </si>
  <si>
    <t>The mobile app works properly on different Android devices.</t>
  </si>
  <si>
    <t>The dispenser connects seamlessly with the mobile app.</t>
  </si>
  <si>
    <t>The dispenser performs well in different household environments.</t>
  </si>
  <si>
    <t>The system can be easily updated or reconfigured if needed.</t>
  </si>
  <si>
    <t>The dispenser design is suitable for various patient age groups.</t>
  </si>
  <si>
    <t>MAINTAINABILITY</t>
  </si>
  <si>
    <t>The dispenser is easy to clean, refill, and reset.</t>
  </si>
  <si>
    <t>The app can be updated or reinstalled easily if needed.</t>
  </si>
  <si>
    <t>The dispenser allows easy inspection or replacement of parts.</t>
  </si>
  <si>
    <t>The research team provided clear maintenance instructions.</t>
  </si>
  <si>
    <t>Troubleshooting the dispenser or app is simple and well-documented.</t>
  </si>
  <si>
    <t>What features did you find most useful?</t>
  </si>
  <si>
    <t>What improvements would you suggest for the hardware or mobile app?</t>
  </si>
  <si>
    <t>Demographic Profile</t>
  </si>
  <si>
    <t>Role</t>
  </si>
  <si>
    <t>Age</t>
  </si>
  <si>
    <t>Sex</t>
  </si>
  <si>
    <t>Frequency of Medication Intake</t>
  </si>
  <si>
    <t>Has an experience using similar health-related applications</t>
  </si>
  <si>
    <t>What problems or challenges did you encounter while using the mobile app and dispenser?</t>
  </si>
  <si>
    <t>Respondents</t>
  </si>
  <si>
    <t>Guardian/Caregiver</t>
  </si>
  <si>
    <t>Female</t>
  </si>
  <si>
    <t>three times a day</t>
  </si>
  <si>
    <t>no</t>
  </si>
  <si>
    <t>Accurate Notifications</t>
  </si>
  <si>
    <t>None</t>
  </si>
  <si>
    <t>46-60</t>
  </si>
  <si>
    <t>User/Patient</t>
  </si>
  <si>
    <t>61 and above</t>
  </si>
  <si>
    <t>Notification and Aletrs</t>
  </si>
  <si>
    <t>short delay of dispense of the medication</t>
  </si>
  <si>
    <t>N/A</t>
  </si>
  <si>
    <t>26-35</t>
  </si>
  <si>
    <t>Twice a day</t>
  </si>
  <si>
    <t>Open Ended</t>
  </si>
  <si>
    <t>Guardian can monitor</t>
  </si>
  <si>
    <t>wala</t>
  </si>
  <si>
    <t>wala na</t>
  </si>
  <si>
    <t>Real time monitoring</t>
  </si>
  <si>
    <t>none</t>
  </si>
  <si>
    <t>add more feature to the app</t>
  </si>
  <si>
    <t>once a day</t>
  </si>
  <si>
    <t>Namomonitor ng guardian</t>
  </si>
  <si>
    <t>36-45</t>
  </si>
  <si>
    <t>Once a day</t>
  </si>
  <si>
    <t>NA</t>
  </si>
  <si>
    <t>Improve the design</t>
  </si>
  <si>
    <t>18-25</t>
  </si>
  <si>
    <t>Male</t>
  </si>
  <si>
    <t>male</t>
  </si>
  <si>
    <t>real time gamitin</t>
  </si>
  <si>
    <t>delay ang paglabas ng gamot</t>
  </si>
  <si>
    <t>mas iimprove yung  dispenser</t>
  </si>
  <si>
    <t>Automated Dispenser</t>
  </si>
  <si>
    <t>mnone</t>
  </si>
  <si>
    <t>female</t>
  </si>
  <si>
    <t>Notification</t>
  </si>
  <si>
    <t>paglalagay ng gamot</t>
  </si>
  <si>
    <t>As prescribed</t>
  </si>
  <si>
    <t>yes</t>
  </si>
  <si>
    <t>it has an automated dispenser</t>
  </si>
  <si>
    <t>delay on dispense</t>
  </si>
  <si>
    <t>make the dispenser offline too</t>
  </si>
  <si>
    <t>as prescribed</t>
  </si>
  <si>
    <t>automated dispenser</t>
  </si>
  <si>
    <t>dispenser sometimes delayed</t>
  </si>
  <si>
    <t>ontime yung alert ng app</t>
  </si>
  <si>
    <t>improve it more</t>
  </si>
  <si>
    <t>reminders ng app</t>
  </si>
  <si>
    <t>the dispenser delays sometimes</t>
  </si>
  <si>
    <t>improve the dispenser</t>
  </si>
  <si>
    <t>natatrack yung records ng missed/taken na gamot</t>
  </si>
  <si>
    <t>nadedelay minsan yung pag dispense ng gamot</t>
  </si>
  <si>
    <t>improve pa yung dispenser</t>
  </si>
  <si>
    <t>namomonitor ng guardian yung pag inom ng gamot</t>
  </si>
  <si>
    <t>scalation of alerts</t>
  </si>
  <si>
    <t>yung alerts at ontime reminders ng app</t>
  </si>
  <si>
    <t>minsan nadedelay yung dispener</t>
  </si>
  <si>
    <t>realtime monitoring of medicine</t>
  </si>
  <si>
    <t>slight delays of dispensing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</si>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</sst>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zoomScale="73" workbookViewId="0">
      <selection activeCell="C1" sqref="C1"/>
    </sheetView>
  </sheetViews>
  <sheetFormatPr defaultRowHeight="14.4" x14ac:dyDescent="0.3"/>
  <cols>
    <col min="1" max="1" width="37.109375" customWidth="1"/>
    <col min="2" max="2" width="4.5546875" customWidth="1"/>
    <col min="3" max="3" width="68.109375" customWidth="1"/>
  </cols>
  <sheetData>
    <row r="1" spans="1:33" x14ac:dyDescent="0.3">
      <c r="A1" s="3" t="s">
        <v>1</v>
      </c>
      <c r="B1">
        <v>1</v>
      </c>
      <c r="C1" t="s">
        <v>2</v>
      </c>
      <c r="D1">
        <v>4</v>
      </c>
      <c r="E1">
        <v>5</v>
      </c>
      <c r="F1">
        <v>4</v>
      </c>
      <c r="G1">
        <v>4</v>
      </c>
      <c r="H1">
        <v>4</v>
      </c>
      <c r="I1">
        <v>5</v>
      </c>
      <c r="J1">
        <v>4</v>
      </c>
      <c r="K1">
        <v>5</v>
      </c>
      <c r="L1">
        <v>5</v>
      </c>
      <c r="M1">
        <v>4</v>
      </c>
      <c r="N1">
        <v>4</v>
      </c>
      <c r="O1">
        <v>5</v>
      </c>
      <c r="P1">
        <v>5</v>
      </c>
      <c r="Q1">
        <v>5</v>
      </c>
      <c r="R1">
        <v>4</v>
      </c>
      <c r="S1">
        <v>4</v>
      </c>
      <c r="T1">
        <v>4</v>
      </c>
      <c r="U1">
        <v>5</v>
      </c>
      <c r="V1">
        <v>4</v>
      </c>
      <c r="W1">
        <v>5</v>
      </c>
      <c r="X1">
        <v>5</v>
      </c>
      <c r="Y1">
        <v>5</v>
      </c>
      <c r="Z1">
        <v>5</v>
      </c>
      <c r="AA1">
        <v>5</v>
      </c>
      <c r="AB1">
        <v>4</v>
      </c>
      <c r="AC1">
        <v>4</v>
      </c>
      <c r="AD1">
        <v>4</v>
      </c>
      <c r="AE1">
        <v>4</v>
      </c>
      <c r="AF1">
        <v>4</v>
      </c>
      <c r="AG1">
        <v>5</v>
      </c>
    </row>
    <row r="2" spans="1:33" x14ac:dyDescent="0.3">
      <c r="A2" s="3"/>
      <c r="B2">
        <v>2</v>
      </c>
      <c r="C2" t="s">
        <v>3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4</v>
      </c>
      <c r="N2">
        <v>4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4</v>
      </c>
      <c r="AB2">
        <v>5</v>
      </c>
      <c r="AC2">
        <v>5</v>
      </c>
      <c r="AD2">
        <v>4</v>
      </c>
      <c r="AE2">
        <v>5</v>
      </c>
      <c r="AF2">
        <v>5</v>
      </c>
      <c r="AG2">
        <v>5</v>
      </c>
    </row>
    <row r="3" spans="1:33" x14ac:dyDescent="0.3">
      <c r="A3" s="3"/>
      <c r="B3">
        <v>3</v>
      </c>
      <c r="C3" t="s">
        <v>4</v>
      </c>
      <c r="D3">
        <v>5</v>
      </c>
      <c r="E3">
        <v>5</v>
      </c>
      <c r="F3">
        <v>5</v>
      </c>
      <c r="G3">
        <v>5</v>
      </c>
      <c r="H3">
        <v>4</v>
      </c>
      <c r="I3">
        <v>3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5</v>
      </c>
      <c r="S3">
        <v>5</v>
      </c>
      <c r="T3">
        <v>5</v>
      </c>
      <c r="U3">
        <v>5</v>
      </c>
      <c r="V3">
        <v>5</v>
      </c>
      <c r="W3">
        <v>4</v>
      </c>
      <c r="X3">
        <v>5</v>
      </c>
      <c r="Y3">
        <v>4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</row>
    <row r="4" spans="1:33" x14ac:dyDescent="0.3">
      <c r="A4" s="3"/>
      <c r="B4">
        <v>4</v>
      </c>
      <c r="C4" t="s">
        <v>5</v>
      </c>
      <c r="D4">
        <v>4</v>
      </c>
      <c r="E4">
        <v>4</v>
      </c>
      <c r="F4">
        <v>3</v>
      </c>
      <c r="G4">
        <v>4</v>
      </c>
      <c r="H4">
        <v>4</v>
      </c>
      <c r="I4">
        <v>5</v>
      </c>
      <c r="J4">
        <v>5</v>
      </c>
      <c r="K4">
        <v>4</v>
      </c>
      <c r="L4">
        <v>4</v>
      </c>
      <c r="M4">
        <v>5</v>
      </c>
      <c r="N4">
        <v>4</v>
      </c>
      <c r="O4">
        <v>4</v>
      </c>
      <c r="P4">
        <v>4</v>
      </c>
      <c r="Q4">
        <v>4</v>
      </c>
      <c r="R4">
        <v>5</v>
      </c>
      <c r="S4">
        <v>4</v>
      </c>
      <c r="T4">
        <v>4</v>
      </c>
      <c r="U4">
        <v>3</v>
      </c>
      <c r="V4">
        <v>4</v>
      </c>
      <c r="W4">
        <v>4</v>
      </c>
      <c r="X4">
        <v>5</v>
      </c>
      <c r="Y4">
        <v>4</v>
      </c>
      <c r="Z4">
        <v>4</v>
      </c>
      <c r="AA4">
        <v>4</v>
      </c>
      <c r="AB4">
        <v>5</v>
      </c>
      <c r="AC4">
        <v>4</v>
      </c>
      <c r="AD4">
        <v>4</v>
      </c>
      <c r="AE4">
        <v>4</v>
      </c>
      <c r="AF4">
        <v>5</v>
      </c>
      <c r="AG4">
        <v>5</v>
      </c>
    </row>
    <row r="5" spans="1:33" x14ac:dyDescent="0.3">
      <c r="A5" s="3"/>
      <c r="B5">
        <v>5</v>
      </c>
      <c r="C5" t="s">
        <v>6</v>
      </c>
      <c r="D5">
        <v>4</v>
      </c>
      <c r="E5">
        <v>5</v>
      </c>
      <c r="F5">
        <v>4</v>
      </c>
      <c r="G5">
        <v>4</v>
      </c>
      <c r="H5">
        <v>5</v>
      </c>
      <c r="I5">
        <v>4</v>
      </c>
      <c r="J5">
        <v>4</v>
      </c>
      <c r="K5">
        <v>4</v>
      </c>
      <c r="L5">
        <v>4</v>
      </c>
      <c r="M5">
        <v>5</v>
      </c>
      <c r="N5">
        <v>4</v>
      </c>
      <c r="O5">
        <v>3</v>
      </c>
      <c r="P5">
        <v>4</v>
      </c>
      <c r="Q5">
        <v>3</v>
      </c>
      <c r="R5">
        <v>4</v>
      </c>
      <c r="S5">
        <v>3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5</v>
      </c>
      <c r="AA5">
        <v>4</v>
      </c>
      <c r="AB5">
        <v>4</v>
      </c>
      <c r="AC5">
        <v>4</v>
      </c>
      <c r="AD5">
        <v>4</v>
      </c>
      <c r="AE5">
        <v>4</v>
      </c>
      <c r="AF5">
        <v>5</v>
      </c>
      <c r="AG5">
        <v>5</v>
      </c>
    </row>
    <row r="6" spans="1:33" ht="30" customHeight="1" x14ac:dyDescent="0.3"/>
  </sheetData>
  <mergeCells count="1">
    <mergeCell ref="A1: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1DB1-A7B6-430A-B786-399C81A7180A}">
  <dimension ref="A1:AG3"/>
  <sheetViews>
    <sheetView workbookViewId="0">
      <selection sqref="A1:AG3"/>
    </sheetView>
  </sheetViews>
  <sheetFormatPr defaultRowHeight="14.4" x14ac:dyDescent="0.3"/>
  <sheetData>
    <row r="1" spans="1:33" x14ac:dyDescent="0.3">
      <c r="A1" s="3" t="s">
        <v>68</v>
      </c>
      <c r="B1">
        <v>1</v>
      </c>
      <c r="C1" t="s">
        <v>44</v>
      </c>
      <c r="D1" t="s">
        <v>58</v>
      </c>
      <c r="E1" t="s">
        <v>63</v>
      </c>
      <c r="F1" t="s">
        <v>69</v>
      </c>
      <c r="G1" t="s">
        <v>72</v>
      </c>
      <c r="H1" t="s">
        <v>76</v>
      </c>
      <c r="I1" t="s">
        <v>73</v>
      </c>
      <c r="J1" t="s">
        <v>73</v>
      </c>
      <c r="K1" t="s">
        <v>73</v>
      </c>
      <c r="L1" t="s">
        <v>79</v>
      </c>
      <c r="M1" t="s">
        <v>79</v>
      </c>
      <c r="N1" t="s">
        <v>73</v>
      </c>
      <c r="O1" t="s">
        <v>73</v>
      </c>
      <c r="P1" t="s">
        <v>84</v>
      </c>
      <c r="Q1" t="s">
        <v>87</v>
      </c>
      <c r="R1" t="s">
        <v>79</v>
      </c>
      <c r="S1" t="s">
        <v>90</v>
      </c>
      <c r="T1" t="s">
        <v>94</v>
      </c>
      <c r="U1" t="s">
        <v>98</v>
      </c>
      <c r="W1" t="s">
        <v>108</v>
      </c>
      <c r="X1" t="s">
        <v>100</v>
      </c>
      <c r="Y1" t="s">
        <v>102</v>
      </c>
      <c r="Z1" t="s">
        <v>70</v>
      </c>
      <c r="AA1" t="s">
        <v>105</v>
      </c>
      <c r="AB1" t="s">
        <v>109</v>
      </c>
      <c r="AC1" t="s">
        <v>110</v>
      </c>
      <c r="AD1" t="s">
        <v>112</v>
      </c>
      <c r="AE1" t="s">
        <v>70</v>
      </c>
      <c r="AF1" t="s">
        <v>73</v>
      </c>
      <c r="AG1" t="s">
        <v>73</v>
      </c>
    </row>
    <row r="2" spans="1:33" x14ac:dyDescent="0.3">
      <c r="A2" s="3"/>
      <c r="B2">
        <v>2</v>
      </c>
      <c r="C2" t="s">
        <v>52</v>
      </c>
      <c r="D2" t="s">
        <v>59</v>
      </c>
      <c r="E2" t="s">
        <v>64</v>
      </c>
      <c r="F2" t="s">
        <v>70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79</v>
      </c>
      <c r="M2" t="s">
        <v>79</v>
      </c>
      <c r="N2" t="s">
        <v>73</v>
      </c>
      <c r="O2" t="s">
        <v>73</v>
      </c>
      <c r="P2" t="s">
        <v>85</v>
      </c>
      <c r="Q2" t="s">
        <v>88</v>
      </c>
      <c r="R2" t="s">
        <v>79</v>
      </c>
      <c r="S2" t="s">
        <v>91</v>
      </c>
      <c r="T2" t="s">
        <v>95</v>
      </c>
      <c r="U2" t="s">
        <v>99</v>
      </c>
      <c r="W2" t="s">
        <v>73</v>
      </c>
      <c r="X2" t="s">
        <v>73</v>
      </c>
      <c r="Y2" t="s">
        <v>103</v>
      </c>
      <c r="Z2" t="s">
        <v>70</v>
      </c>
      <c r="AA2" t="s">
        <v>106</v>
      </c>
      <c r="AB2" t="s">
        <v>73</v>
      </c>
      <c r="AC2" t="s">
        <v>111</v>
      </c>
      <c r="AD2" t="s">
        <v>113</v>
      </c>
      <c r="AE2" t="s">
        <v>70</v>
      </c>
      <c r="AF2" t="s">
        <v>73</v>
      </c>
      <c r="AG2" t="s">
        <v>73</v>
      </c>
    </row>
    <row r="3" spans="1:33" x14ac:dyDescent="0.3">
      <c r="A3" s="3"/>
      <c r="B3">
        <v>3</v>
      </c>
      <c r="C3" t="s">
        <v>45</v>
      </c>
      <c r="D3" t="s">
        <v>59</v>
      </c>
      <c r="E3" t="s">
        <v>65</v>
      </c>
      <c r="F3" t="s">
        <v>71</v>
      </c>
      <c r="G3" t="s">
        <v>74</v>
      </c>
      <c r="H3" t="s">
        <v>73</v>
      </c>
      <c r="I3" t="s">
        <v>73</v>
      </c>
      <c r="J3" t="s">
        <v>73</v>
      </c>
      <c r="K3" t="s">
        <v>73</v>
      </c>
      <c r="L3" t="s">
        <v>80</v>
      </c>
      <c r="M3" t="s">
        <v>79</v>
      </c>
      <c r="N3" t="s">
        <v>73</v>
      </c>
      <c r="O3" t="s">
        <v>73</v>
      </c>
      <c r="P3" t="s">
        <v>86</v>
      </c>
      <c r="Q3" t="s">
        <v>73</v>
      </c>
      <c r="R3" t="s">
        <v>79</v>
      </c>
      <c r="S3" t="s">
        <v>79</v>
      </c>
      <c r="T3" t="s">
        <v>96</v>
      </c>
      <c r="U3" t="s">
        <v>73</v>
      </c>
      <c r="W3" t="s">
        <v>73</v>
      </c>
      <c r="X3" t="s">
        <v>101</v>
      </c>
      <c r="Y3" t="s">
        <v>104</v>
      </c>
      <c r="Z3" t="s">
        <v>70</v>
      </c>
      <c r="AA3" t="s">
        <v>107</v>
      </c>
      <c r="AB3" t="s">
        <v>73</v>
      </c>
      <c r="AC3" t="s">
        <v>73</v>
      </c>
      <c r="AD3" t="s">
        <v>104</v>
      </c>
      <c r="AE3" t="s">
        <v>70</v>
      </c>
      <c r="AF3" t="s">
        <v>73</v>
      </c>
      <c r="AG3" t="s">
        <v>73</v>
      </c>
    </row>
  </sheetData>
  <mergeCells count="1">
    <mergeCell ref="A1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BB86-DF0A-4E26-BDE6-3FEC954431D9}">
  <dimension ref="A1:AI7"/>
  <sheetViews>
    <sheetView tabSelected="1" topLeftCell="F1" workbookViewId="0">
      <selection activeCell="W9" sqref="W9"/>
    </sheetView>
  </sheetViews>
  <sheetFormatPr defaultRowHeight="14.4" x14ac:dyDescent="0.3"/>
  <sheetData>
    <row r="1" spans="1:35" x14ac:dyDescent="0.3">
      <c r="A1" s="3" t="s">
        <v>38</v>
      </c>
      <c r="B1">
        <v>1</v>
      </c>
      <c r="C1" t="s">
        <v>39</v>
      </c>
      <c r="D1">
        <v>3</v>
      </c>
      <c r="E1">
        <v>4</v>
      </c>
      <c r="F1">
        <v>4</v>
      </c>
      <c r="G1">
        <v>3</v>
      </c>
      <c r="H1">
        <v>4</v>
      </c>
      <c r="I1">
        <v>4</v>
      </c>
      <c r="J1">
        <v>3</v>
      </c>
      <c r="K1">
        <v>4</v>
      </c>
      <c r="L1">
        <v>3</v>
      </c>
      <c r="M1">
        <v>3</v>
      </c>
      <c r="N1">
        <v>4</v>
      </c>
      <c r="O1">
        <v>4</v>
      </c>
      <c r="P1">
        <v>4</v>
      </c>
      <c r="Q1">
        <v>4</v>
      </c>
      <c r="R1">
        <v>4</v>
      </c>
      <c r="S1">
        <v>4</v>
      </c>
      <c r="T1">
        <v>4</v>
      </c>
      <c r="U1">
        <v>3</v>
      </c>
      <c r="V1">
        <v>4</v>
      </c>
      <c r="W1">
        <v>4</v>
      </c>
      <c r="X1">
        <v>2</v>
      </c>
      <c r="Y1">
        <v>4</v>
      </c>
      <c r="Z1">
        <v>3</v>
      </c>
      <c r="AA1">
        <v>3</v>
      </c>
      <c r="AB1">
        <v>4</v>
      </c>
      <c r="AC1">
        <v>3</v>
      </c>
      <c r="AD1">
        <v>3</v>
      </c>
      <c r="AE1">
        <v>3</v>
      </c>
      <c r="AF1">
        <v>3</v>
      </c>
      <c r="AG1">
        <v>3</v>
      </c>
      <c r="AH1">
        <f>SUM(D1:AG1)</f>
        <v>105</v>
      </c>
      <c r="AI1">
        <f>SUM(D1:AG1)/30</f>
        <v>3.5</v>
      </c>
    </row>
    <row r="2" spans="1:35" x14ac:dyDescent="0.3">
      <c r="A2" s="3"/>
      <c r="B2">
        <v>2</v>
      </c>
      <c r="C2" t="s">
        <v>40</v>
      </c>
      <c r="D2">
        <v>4</v>
      </c>
      <c r="E2">
        <v>5</v>
      </c>
      <c r="F2">
        <v>5</v>
      </c>
      <c r="G2">
        <v>4</v>
      </c>
      <c r="H2">
        <v>4</v>
      </c>
      <c r="I2">
        <v>4</v>
      </c>
      <c r="J2">
        <v>5</v>
      </c>
      <c r="K2">
        <v>5</v>
      </c>
      <c r="L2">
        <v>5</v>
      </c>
      <c r="M2">
        <v>4</v>
      </c>
      <c r="N2">
        <v>5</v>
      </c>
      <c r="O2">
        <v>4</v>
      </c>
      <c r="P2">
        <v>4</v>
      </c>
      <c r="Q2">
        <v>4</v>
      </c>
      <c r="R2">
        <v>5</v>
      </c>
      <c r="S2">
        <v>4</v>
      </c>
      <c r="T2">
        <v>4</v>
      </c>
      <c r="U2">
        <v>5</v>
      </c>
      <c r="V2">
        <v>5</v>
      </c>
      <c r="W2">
        <v>5</v>
      </c>
      <c r="X2">
        <v>4</v>
      </c>
      <c r="Y2">
        <v>4</v>
      </c>
      <c r="Z2">
        <v>4</v>
      </c>
      <c r="AA2">
        <v>4</v>
      </c>
      <c r="AB2">
        <v>5</v>
      </c>
      <c r="AC2">
        <v>5</v>
      </c>
      <c r="AD2">
        <v>5</v>
      </c>
      <c r="AE2">
        <v>4</v>
      </c>
      <c r="AF2">
        <v>5</v>
      </c>
      <c r="AG2">
        <v>4</v>
      </c>
      <c r="AH2">
        <f t="shared" ref="AH2:AH5" si="0">SUM(D2:AG2)</f>
        <v>134</v>
      </c>
      <c r="AI2">
        <f t="shared" ref="AI2:AI5" si="1">SUM(D2:AG2)/30</f>
        <v>4.4666666666666668</v>
      </c>
    </row>
    <row r="3" spans="1:35" x14ac:dyDescent="0.3">
      <c r="A3" s="3"/>
      <c r="B3">
        <v>3</v>
      </c>
      <c r="C3" t="s">
        <v>41</v>
      </c>
      <c r="D3">
        <v>4</v>
      </c>
      <c r="E3">
        <v>4</v>
      </c>
      <c r="F3">
        <v>3</v>
      </c>
      <c r="G3">
        <v>4</v>
      </c>
      <c r="H3">
        <v>4</v>
      </c>
      <c r="I3">
        <v>4</v>
      </c>
      <c r="J3">
        <v>4</v>
      </c>
      <c r="K3">
        <v>4</v>
      </c>
      <c r="L3">
        <v>3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3</v>
      </c>
      <c r="U3">
        <v>4</v>
      </c>
      <c r="V3">
        <v>4</v>
      </c>
      <c r="W3">
        <v>3</v>
      </c>
      <c r="X3">
        <v>4</v>
      </c>
      <c r="Y3">
        <v>4</v>
      </c>
      <c r="Z3">
        <v>4</v>
      </c>
      <c r="AA3">
        <v>4</v>
      </c>
      <c r="AB3">
        <v>3</v>
      </c>
      <c r="AC3">
        <v>4</v>
      </c>
      <c r="AD3">
        <v>4</v>
      </c>
      <c r="AE3">
        <v>4</v>
      </c>
      <c r="AF3">
        <v>3</v>
      </c>
      <c r="AG3">
        <v>4</v>
      </c>
      <c r="AH3">
        <f t="shared" si="0"/>
        <v>114</v>
      </c>
      <c r="AI3">
        <f t="shared" si="1"/>
        <v>3.8</v>
      </c>
    </row>
    <row r="4" spans="1:35" x14ac:dyDescent="0.3">
      <c r="A4" s="3"/>
      <c r="B4">
        <v>4</v>
      </c>
      <c r="C4" t="s">
        <v>42</v>
      </c>
      <c r="D4">
        <v>5</v>
      </c>
      <c r="E4">
        <v>5</v>
      </c>
      <c r="F4">
        <v>4</v>
      </c>
      <c r="G4">
        <v>5</v>
      </c>
      <c r="H4">
        <v>5</v>
      </c>
      <c r="I4">
        <v>4</v>
      </c>
      <c r="J4">
        <v>5</v>
      </c>
      <c r="K4">
        <v>5</v>
      </c>
      <c r="L4">
        <v>4</v>
      </c>
      <c r="M4">
        <v>5</v>
      </c>
      <c r="N4">
        <v>4</v>
      </c>
      <c r="O4">
        <v>5</v>
      </c>
      <c r="P4">
        <v>4</v>
      </c>
      <c r="Q4">
        <v>4</v>
      </c>
      <c r="R4">
        <v>4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4</v>
      </c>
      <c r="AA4">
        <v>4</v>
      </c>
      <c r="AB4">
        <v>4</v>
      </c>
      <c r="AC4">
        <v>4</v>
      </c>
      <c r="AD4">
        <v>4</v>
      </c>
      <c r="AE4">
        <v>5</v>
      </c>
      <c r="AF4">
        <v>4</v>
      </c>
      <c r="AG4">
        <v>5</v>
      </c>
      <c r="AH4">
        <f t="shared" si="0"/>
        <v>137</v>
      </c>
      <c r="AI4">
        <f t="shared" si="1"/>
        <v>4.5666666666666664</v>
      </c>
    </row>
    <row r="5" spans="1:35" x14ac:dyDescent="0.3">
      <c r="A5" s="3"/>
      <c r="B5">
        <v>5</v>
      </c>
      <c r="C5" t="s">
        <v>43</v>
      </c>
      <c r="D5">
        <v>5</v>
      </c>
      <c r="E5">
        <v>5</v>
      </c>
      <c r="F5">
        <v>4</v>
      </c>
      <c r="G5">
        <v>4</v>
      </c>
      <c r="H5">
        <v>5</v>
      </c>
      <c r="I5">
        <v>5</v>
      </c>
      <c r="J5">
        <v>4</v>
      </c>
      <c r="K5">
        <v>4</v>
      </c>
      <c r="L5">
        <v>4</v>
      </c>
      <c r="M5">
        <v>5</v>
      </c>
      <c r="N5">
        <v>4</v>
      </c>
      <c r="O5">
        <v>5</v>
      </c>
      <c r="P5">
        <v>4</v>
      </c>
      <c r="Q5">
        <v>4</v>
      </c>
      <c r="R5">
        <v>4</v>
      </c>
      <c r="S5">
        <v>5</v>
      </c>
      <c r="T5">
        <v>4</v>
      </c>
      <c r="U5">
        <v>5</v>
      </c>
      <c r="V5">
        <v>5</v>
      </c>
      <c r="W5">
        <v>5</v>
      </c>
      <c r="X5">
        <v>5</v>
      </c>
      <c r="Y5">
        <v>4</v>
      </c>
      <c r="Z5">
        <v>4</v>
      </c>
      <c r="AA5">
        <v>4</v>
      </c>
      <c r="AB5">
        <v>5</v>
      </c>
      <c r="AC5">
        <v>4</v>
      </c>
      <c r="AD5">
        <v>4</v>
      </c>
      <c r="AE5">
        <v>4</v>
      </c>
      <c r="AF5">
        <v>4</v>
      </c>
      <c r="AG5">
        <v>4</v>
      </c>
      <c r="AH5">
        <f t="shared" si="0"/>
        <v>132</v>
      </c>
      <c r="AI5">
        <f t="shared" si="1"/>
        <v>4.4000000000000004</v>
      </c>
    </row>
    <row r="7" spans="1:35" x14ac:dyDescent="0.3">
      <c r="AI7">
        <f>SUM(AI1:AI5)/5</f>
        <v>4.1466666666666665</v>
      </c>
    </row>
  </sheetData>
  <mergeCells count="1">
    <mergeCell ref="A1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34D51-56AD-483E-A927-881F1A48AAFE}">
  <dimension ref="A1:AG5"/>
  <sheetViews>
    <sheetView topLeftCell="D1" workbookViewId="0">
      <selection activeCell="C5" sqref="C5"/>
    </sheetView>
  </sheetViews>
  <sheetFormatPr defaultRowHeight="14.4" x14ac:dyDescent="0.3"/>
  <sheetData>
    <row r="1" spans="1:33" x14ac:dyDescent="0.3">
      <c r="A1" s="3" t="s">
        <v>32</v>
      </c>
      <c r="B1">
        <v>1</v>
      </c>
      <c r="C1" t="s">
        <v>33</v>
      </c>
      <c r="D1">
        <v>5</v>
      </c>
      <c r="E1">
        <v>5</v>
      </c>
      <c r="F1">
        <v>4</v>
      </c>
      <c r="G1">
        <v>5</v>
      </c>
      <c r="H1">
        <v>4</v>
      </c>
      <c r="I1">
        <v>5</v>
      </c>
      <c r="J1">
        <v>5</v>
      </c>
      <c r="K1">
        <v>4</v>
      </c>
      <c r="L1">
        <v>4</v>
      </c>
      <c r="M1">
        <v>5</v>
      </c>
      <c r="N1">
        <v>5</v>
      </c>
      <c r="O1">
        <v>5</v>
      </c>
      <c r="P1">
        <v>4</v>
      </c>
      <c r="Q1">
        <v>4</v>
      </c>
      <c r="R1">
        <v>5</v>
      </c>
      <c r="S1">
        <v>5</v>
      </c>
      <c r="T1">
        <v>4</v>
      </c>
      <c r="U1">
        <v>4</v>
      </c>
      <c r="V1">
        <v>5</v>
      </c>
      <c r="W1">
        <v>4</v>
      </c>
      <c r="X1">
        <v>5</v>
      </c>
      <c r="Y1">
        <v>4</v>
      </c>
      <c r="Z1">
        <v>4</v>
      </c>
      <c r="AA1">
        <v>4</v>
      </c>
      <c r="AB1">
        <v>4</v>
      </c>
      <c r="AC1">
        <v>4</v>
      </c>
      <c r="AD1">
        <v>4</v>
      </c>
      <c r="AE1">
        <v>4</v>
      </c>
      <c r="AF1">
        <v>5</v>
      </c>
      <c r="AG1">
        <v>4</v>
      </c>
    </row>
    <row r="2" spans="1:33" x14ac:dyDescent="0.3">
      <c r="A2" s="3"/>
      <c r="B2">
        <v>2</v>
      </c>
      <c r="C2" t="s">
        <v>34</v>
      </c>
      <c r="D2">
        <v>4</v>
      </c>
      <c r="E2">
        <v>3</v>
      </c>
      <c r="F2">
        <v>4</v>
      </c>
      <c r="G2">
        <v>4</v>
      </c>
      <c r="H2">
        <v>5</v>
      </c>
      <c r="I2">
        <v>5</v>
      </c>
      <c r="J2">
        <v>4</v>
      </c>
      <c r="K2">
        <v>4</v>
      </c>
      <c r="L2">
        <v>4</v>
      </c>
      <c r="M2">
        <v>5</v>
      </c>
      <c r="N2">
        <v>4</v>
      </c>
      <c r="O2">
        <v>4</v>
      </c>
      <c r="P2">
        <v>4</v>
      </c>
      <c r="Q2">
        <v>4</v>
      </c>
      <c r="R2">
        <v>5</v>
      </c>
      <c r="S2">
        <v>4</v>
      </c>
      <c r="T2">
        <v>4</v>
      </c>
      <c r="U2">
        <v>4</v>
      </c>
      <c r="V2">
        <v>5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5</v>
      </c>
      <c r="AG2">
        <v>4</v>
      </c>
    </row>
    <row r="3" spans="1:33" x14ac:dyDescent="0.3">
      <c r="A3" s="3"/>
      <c r="B3">
        <v>3</v>
      </c>
      <c r="C3" t="s">
        <v>35</v>
      </c>
      <c r="D3">
        <v>4</v>
      </c>
      <c r="E3">
        <v>3</v>
      </c>
      <c r="F3">
        <v>3</v>
      </c>
      <c r="G3">
        <v>4</v>
      </c>
      <c r="H3">
        <v>5</v>
      </c>
      <c r="I3">
        <v>4</v>
      </c>
      <c r="J3">
        <v>4</v>
      </c>
      <c r="K3">
        <v>5</v>
      </c>
      <c r="L3">
        <v>4</v>
      </c>
      <c r="M3">
        <v>5</v>
      </c>
      <c r="N3">
        <v>4</v>
      </c>
      <c r="O3">
        <v>4</v>
      </c>
      <c r="P3">
        <v>4</v>
      </c>
      <c r="Q3">
        <v>5</v>
      </c>
      <c r="R3">
        <v>5</v>
      </c>
      <c r="S3">
        <v>4</v>
      </c>
      <c r="T3">
        <v>3</v>
      </c>
      <c r="U3">
        <v>3</v>
      </c>
      <c r="V3">
        <v>4</v>
      </c>
      <c r="W3">
        <v>4</v>
      </c>
      <c r="X3">
        <v>4</v>
      </c>
      <c r="Y3">
        <v>3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</row>
    <row r="4" spans="1:33" x14ac:dyDescent="0.3">
      <c r="A4" s="3"/>
      <c r="B4">
        <v>4</v>
      </c>
      <c r="C4" t="s">
        <v>36</v>
      </c>
      <c r="D4">
        <v>4</v>
      </c>
      <c r="E4">
        <v>4</v>
      </c>
      <c r="F4">
        <v>5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5</v>
      </c>
      <c r="N4">
        <v>5</v>
      </c>
      <c r="O4">
        <v>5</v>
      </c>
      <c r="P4">
        <v>4</v>
      </c>
      <c r="Q4">
        <v>5</v>
      </c>
      <c r="R4">
        <v>4</v>
      </c>
      <c r="S4">
        <v>4</v>
      </c>
      <c r="T4">
        <v>4</v>
      </c>
      <c r="U4">
        <v>4</v>
      </c>
      <c r="V4">
        <v>4</v>
      </c>
      <c r="W4">
        <v>5</v>
      </c>
      <c r="X4">
        <v>4</v>
      </c>
      <c r="Y4">
        <v>4</v>
      </c>
      <c r="Z4">
        <v>4</v>
      </c>
      <c r="AA4">
        <v>4</v>
      </c>
      <c r="AB4">
        <v>5</v>
      </c>
      <c r="AC4">
        <v>5</v>
      </c>
      <c r="AD4">
        <v>5</v>
      </c>
      <c r="AE4">
        <v>4</v>
      </c>
      <c r="AF4">
        <v>4</v>
      </c>
      <c r="AG4">
        <v>4</v>
      </c>
    </row>
    <row r="5" spans="1:33" x14ac:dyDescent="0.3">
      <c r="A5" s="3"/>
      <c r="B5">
        <v>5</v>
      </c>
      <c r="C5" t="s">
        <v>37</v>
      </c>
      <c r="D5">
        <v>2</v>
      </c>
      <c r="E5">
        <v>4</v>
      </c>
      <c r="F5">
        <v>3</v>
      </c>
      <c r="G5">
        <v>4</v>
      </c>
      <c r="H5">
        <v>4</v>
      </c>
      <c r="I5">
        <v>5</v>
      </c>
      <c r="J5">
        <v>5</v>
      </c>
      <c r="K5">
        <v>4</v>
      </c>
      <c r="L5">
        <v>5</v>
      </c>
      <c r="M5">
        <v>5</v>
      </c>
      <c r="N5">
        <v>5</v>
      </c>
      <c r="O5">
        <v>4</v>
      </c>
      <c r="P5">
        <v>4</v>
      </c>
      <c r="Q5">
        <v>5</v>
      </c>
      <c r="R5">
        <v>4</v>
      </c>
      <c r="S5">
        <v>5</v>
      </c>
      <c r="T5">
        <v>3</v>
      </c>
      <c r="U5">
        <v>4</v>
      </c>
      <c r="V5">
        <v>4</v>
      </c>
      <c r="W5">
        <v>4</v>
      </c>
      <c r="X5">
        <v>5</v>
      </c>
      <c r="Y5">
        <v>5</v>
      </c>
      <c r="Z5">
        <v>5</v>
      </c>
      <c r="AA5">
        <v>4</v>
      </c>
      <c r="AB5">
        <v>5</v>
      </c>
      <c r="AC5">
        <v>4</v>
      </c>
      <c r="AD5">
        <v>5</v>
      </c>
      <c r="AE5">
        <v>5</v>
      </c>
      <c r="AF5">
        <v>5</v>
      </c>
      <c r="AG5">
        <v>5</v>
      </c>
    </row>
  </sheetData>
  <mergeCells count="1">
    <mergeCell ref="A1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AE8D-620F-425C-B4C6-5280D479A104}">
  <dimension ref="A1:AG4"/>
  <sheetViews>
    <sheetView workbookViewId="0">
      <selection activeCell="C4" sqref="C4"/>
    </sheetView>
  </sheetViews>
  <sheetFormatPr defaultRowHeight="14.4" x14ac:dyDescent="0.3"/>
  <sheetData>
    <row r="1" spans="1:33" x14ac:dyDescent="0.3">
      <c r="A1" s="3" t="s">
        <v>27</v>
      </c>
      <c r="B1">
        <v>1</v>
      </c>
      <c r="C1" t="s">
        <v>28</v>
      </c>
      <c r="D1">
        <v>5</v>
      </c>
      <c r="E1">
        <v>4</v>
      </c>
      <c r="F1">
        <v>5</v>
      </c>
      <c r="G1">
        <v>4</v>
      </c>
      <c r="H1">
        <v>5</v>
      </c>
      <c r="I1">
        <v>4</v>
      </c>
      <c r="J1">
        <v>4</v>
      </c>
      <c r="K1">
        <v>4</v>
      </c>
      <c r="L1">
        <v>4</v>
      </c>
      <c r="M1">
        <v>4</v>
      </c>
      <c r="N1">
        <v>4</v>
      </c>
      <c r="O1">
        <v>4</v>
      </c>
      <c r="P1">
        <v>5</v>
      </c>
      <c r="Q1">
        <v>4</v>
      </c>
      <c r="R1">
        <v>5</v>
      </c>
      <c r="S1">
        <v>5</v>
      </c>
      <c r="T1">
        <v>4</v>
      </c>
      <c r="U1">
        <v>5</v>
      </c>
      <c r="V1">
        <v>4</v>
      </c>
      <c r="W1">
        <v>4</v>
      </c>
      <c r="X1">
        <v>5</v>
      </c>
      <c r="Y1">
        <v>5</v>
      </c>
      <c r="Z1">
        <v>4</v>
      </c>
      <c r="AA1">
        <v>5</v>
      </c>
      <c r="AB1">
        <v>4</v>
      </c>
      <c r="AC1">
        <v>5</v>
      </c>
      <c r="AD1">
        <v>5</v>
      </c>
      <c r="AE1">
        <v>5</v>
      </c>
      <c r="AF1">
        <v>5</v>
      </c>
      <c r="AG1">
        <v>5</v>
      </c>
    </row>
    <row r="2" spans="1:33" x14ac:dyDescent="0.3">
      <c r="A2" s="3"/>
      <c r="B2">
        <v>2</v>
      </c>
      <c r="C2" t="s">
        <v>29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5</v>
      </c>
      <c r="Q2">
        <v>4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4</v>
      </c>
      <c r="AC2">
        <v>5</v>
      </c>
      <c r="AD2">
        <v>5</v>
      </c>
      <c r="AE2">
        <v>5</v>
      </c>
      <c r="AF2">
        <v>5</v>
      </c>
      <c r="AG2">
        <v>5</v>
      </c>
    </row>
    <row r="3" spans="1:33" x14ac:dyDescent="0.3">
      <c r="A3" s="3"/>
      <c r="B3">
        <v>3</v>
      </c>
      <c r="C3" t="s">
        <v>30</v>
      </c>
      <c r="D3">
        <v>4</v>
      </c>
      <c r="E3">
        <v>5</v>
      </c>
      <c r="F3">
        <v>3</v>
      </c>
      <c r="G3">
        <v>4</v>
      </c>
      <c r="H3">
        <v>4</v>
      </c>
      <c r="I3">
        <v>5</v>
      </c>
      <c r="J3">
        <v>5</v>
      </c>
      <c r="K3">
        <v>4</v>
      </c>
      <c r="L3">
        <v>5</v>
      </c>
      <c r="M3">
        <v>4</v>
      </c>
      <c r="N3">
        <v>4</v>
      </c>
      <c r="O3">
        <v>4</v>
      </c>
      <c r="P3">
        <v>4</v>
      </c>
      <c r="Q3">
        <v>3</v>
      </c>
      <c r="R3">
        <v>4</v>
      </c>
      <c r="S3">
        <v>4</v>
      </c>
      <c r="T3">
        <v>4</v>
      </c>
      <c r="U3">
        <v>3</v>
      </c>
      <c r="V3">
        <v>4</v>
      </c>
      <c r="W3">
        <v>4</v>
      </c>
      <c r="X3">
        <v>5</v>
      </c>
      <c r="Y3">
        <v>5</v>
      </c>
      <c r="Z3">
        <v>5</v>
      </c>
      <c r="AA3">
        <v>5</v>
      </c>
      <c r="AB3">
        <v>4</v>
      </c>
      <c r="AC3">
        <v>5</v>
      </c>
      <c r="AD3">
        <v>4</v>
      </c>
      <c r="AE3">
        <v>4</v>
      </c>
      <c r="AF3">
        <v>4</v>
      </c>
      <c r="AG3">
        <v>5</v>
      </c>
    </row>
    <row r="4" spans="1:33" x14ac:dyDescent="0.3">
      <c r="A4" s="3"/>
      <c r="B4">
        <v>4</v>
      </c>
      <c r="C4" t="s">
        <v>31</v>
      </c>
      <c r="D4">
        <v>5</v>
      </c>
      <c r="E4">
        <v>5</v>
      </c>
      <c r="F4">
        <v>4</v>
      </c>
      <c r="G4">
        <v>4</v>
      </c>
      <c r="H4">
        <v>4</v>
      </c>
      <c r="I4">
        <v>4</v>
      </c>
      <c r="J4">
        <v>4</v>
      </c>
      <c r="K4">
        <v>5</v>
      </c>
      <c r="L4">
        <v>5</v>
      </c>
      <c r="M4">
        <v>4</v>
      </c>
      <c r="N4">
        <v>4</v>
      </c>
      <c r="O4">
        <v>5</v>
      </c>
      <c r="P4">
        <v>4</v>
      </c>
      <c r="Q4">
        <v>3</v>
      </c>
      <c r="R4">
        <v>4</v>
      </c>
      <c r="S4">
        <v>4</v>
      </c>
      <c r="T4">
        <v>4</v>
      </c>
      <c r="U4">
        <v>4</v>
      </c>
      <c r="V4">
        <v>5</v>
      </c>
      <c r="W4">
        <v>4</v>
      </c>
      <c r="X4">
        <v>5</v>
      </c>
      <c r="Y4">
        <v>5</v>
      </c>
      <c r="Z4">
        <v>5</v>
      </c>
      <c r="AA4">
        <v>5</v>
      </c>
      <c r="AB4">
        <v>4</v>
      </c>
      <c r="AC4">
        <v>5</v>
      </c>
      <c r="AD4">
        <v>5</v>
      </c>
      <c r="AE4">
        <v>5</v>
      </c>
      <c r="AF4">
        <v>5</v>
      </c>
      <c r="AG4">
        <v>5</v>
      </c>
    </row>
  </sheetData>
  <mergeCells count="1">
    <mergeCell ref="A1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EA88-6D3F-40D3-937A-1B1A1B42B526}">
  <dimension ref="A1:AI8"/>
  <sheetViews>
    <sheetView topLeftCell="W1" workbookViewId="0">
      <selection activeCell="AG21" sqref="AG21"/>
    </sheetView>
  </sheetViews>
  <sheetFormatPr defaultRowHeight="14.4" x14ac:dyDescent="0.3"/>
  <sheetData>
    <row r="1" spans="1:35" x14ac:dyDescent="0.3">
      <c r="A1" s="3" t="s">
        <v>20</v>
      </c>
      <c r="B1">
        <v>1</v>
      </c>
      <c r="C1" t="s">
        <v>21</v>
      </c>
      <c r="D1">
        <v>4</v>
      </c>
      <c r="E1">
        <v>3</v>
      </c>
      <c r="F1">
        <v>4</v>
      </c>
      <c r="G1">
        <v>2</v>
      </c>
      <c r="H1">
        <v>3</v>
      </c>
      <c r="I1">
        <v>4</v>
      </c>
      <c r="J1">
        <v>3</v>
      </c>
      <c r="K1">
        <v>4</v>
      </c>
      <c r="L1">
        <v>4</v>
      </c>
      <c r="M1">
        <v>4</v>
      </c>
      <c r="N1">
        <v>4</v>
      </c>
      <c r="O1">
        <v>3</v>
      </c>
      <c r="P1">
        <v>4</v>
      </c>
      <c r="Q1">
        <v>4</v>
      </c>
      <c r="R1">
        <v>4</v>
      </c>
      <c r="S1">
        <v>4</v>
      </c>
      <c r="T1">
        <v>3</v>
      </c>
      <c r="U1">
        <v>3</v>
      </c>
      <c r="V1">
        <v>3</v>
      </c>
      <c r="W1">
        <v>3</v>
      </c>
      <c r="X1">
        <v>4</v>
      </c>
      <c r="Y1">
        <v>3</v>
      </c>
      <c r="Z1">
        <v>3</v>
      </c>
      <c r="AA1">
        <v>4</v>
      </c>
      <c r="AB1">
        <v>3</v>
      </c>
      <c r="AC1">
        <v>3</v>
      </c>
      <c r="AD1">
        <v>2</v>
      </c>
      <c r="AE1">
        <v>3</v>
      </c>
      <c r="AF1">
        <v>4</v>
      </c>
      <c r="AG1">
        <v>3</v>
      </c>
      <c r="AI1">
        <f>SUM(D1:AG1)/30</f>
        <v>3.4</v>
      </c>
    </row>
    <row r="2" spans="1:35" x14ac:dyDescent="0.3">
      <c r="A2" s="3"/>
      <c r="B2">
        <v>2</v>
      </c>
      <c r="C2" t="s">
        <v>22</v>
      </c>
      <c r="D2">
        <v>3</v>
      </c>
      <c r="E2">
        <v>5</v>
      </c>
      <c r="F2">
        <v>5</v>
      </c>
      <c r="G2">
        <v>5</v>
      </c>
      <c r="H2">
        <v>4</v>
      </c>
      <c r="I2">
        <v>4</v>
      </c>
      <c r="J2">
        <v>3</v>
      </c>
      <c r="K2">
        <v>4</v>
      </c>
      <c r="L2">
        <v>3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5</v>
      </c>
      <c r="U2">
        <v>5</v>
      </c>
      <c r="V2">
        <v>4</v>
      </c>
      <c r="W2">
        <v>5</v>
      </c>
      <c r="X2">
        <v>4</v>
      </c>
      <c r="Y2">
        <v>4</v>
      </c>
      <c r="Z2">
        <v>3</v>
      </c>
      <c r="AA2">
        <v>3</v>
      </c>
      <c r="AB2">
        <v>4</v>
      </c>
      <c r="AC2">
        <v>3</v>
      </c>
      <c r="AD2">
        <v>3</v>
      </c>
      <c r="AE2">
        <v>4</v>
      </c>
      <c r="AF2">
        <v>4</v>
      </c>
      <c r="AG2">
        <v>3</v>
      </c>
      <c r="AI2">
        <f t="shared" ref="AI2:AI6" si="0">SUM(D2:AG2)/30</f>
        <v>3.9333333333333331</v>
      </c>
    </row>
    <row r="3" spans="1:35" x14ac:dyDescent="0.3">
      <c r="A3" s="3"/>
      <c r="B3">
        <v>3</v>
      </c>
      <c r="C3" t="s">
        <v>23</v>
      </c>
      <c r="D3">
        <v>5</v>
      </c>
      <c r="E3">
        <v>5</v>
      </c>
      <c r="F3">
        <v>5</v>
      </c>
      <c r="G3">
        <v>4</v>
      </c>
      <c r="H3">
        <v>4</v>
      </c>
      <c r="I3">
        <v>5</v>
      </c>
      <c r="J3">
        <v>4</v>
      </c>
      <c r="K3">
        <v>5</v>
      </c>
      <c r="L3">
        <v>4</v>
      </c>
      <c r="M3">
        <v>4</v>
      </c>
      <c r="N3">
        <v>5</v>
      </c>
      <c r="O3">
        <v>5</v>
      </c>
      <c r="P3">
        <v>5</v>
      </c>
      <c r="Q3">
        <v>4</v>
      </c>
      <c r="R3">
        <v>5</v>
      </c>
      <c r="S3">
        <v>5</v>
      </c>
      <c r="T3">
        <v>5</v>
      </c>
      <c r="U3">
        <v>5</v>
      </c>
      <c r="V3">
        <v>5</v>
      </c>
      <c r="W3">
        <v>4</v>
      </c>
      <c r="X3">
        <v>4</v>
      </c>
      <c r="Y3">
        <v>4</v>
      </c>
      <c r="Z3">
        <v>3</v>
      </c>
      <c r="AA3">
        <v>4</v>
      </c>
      <c r="AB3">
        <v>4</v>
      </c>
      <c r="AC3">
        <v>4</v>
      </c>
      <c r="AD3">
        <v>3</v>
      </c>
      <c r="AE3">
        <v>4</v>
      </c>
      <c r="AF3">
        <v>4</v>
      </c>
      <c r="AG3">
        <v>4</v>
      </c>
      <c r="AI3">
        <f t="shared" si="0"/>
        <v>4.3666666666666663</v>
      </c>
    </row>
    <row r="4" spans="1:35" x14ac:dyDescent="0.3">
      <c r="A4" s="3"/>
      <c r="B4">
        <v>4</v>
      </c>
      <c r="C4" t="s">
        <v>24</v>
      </c>
      <c r="D4">
        <v>5</v>
      </c>
      <c r="E4">
        <v>5</v>
      </c>
      <c r="F4">
        <v>4</v>
      </c>
      <c r="G4">
        <v>5</v>
      </c>
      <c r="H4">
        <v>4</v>
      </c>
      <c r="I4">
        <v>5</v>
      </c>
      <c r="J4">
        <v>4</v>
      </c>
      <c r="K4">
        <v>3</v>
      </c>
      <c r="L4">
        <v>4</v>
      </c>
      <c r="M4">
        <v>3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5</v>
      </c>
      <c r="W4">
        <v>5</v>
      </c>
      <c r="X4">
        <v>3</v>
      </c>
      <c r="Y4">
        <v>3</v>
      </c>
      <c r="Z4">
        <v>2</v>
      </c>
      <c r="AA4">
        <v>3</v>
      </c>
      <c r="AB4">
        <v>3</v>
      </c>
      <c r="AC4">
        <v>3</v>
      </c>
      <c r="AD4">
        <v>2</v>
      </c>
      <c r="AE4">
        <v>3</v>
      </c>
      <c r="AF4">
        <v>4</v>
      </c>
      <c r="AG4">
        <v>3</v>
      </c>
      <c r="AI4">
        <f t="shared" si="0"/>
        <v>3.7666666666666666</v>
      </c>
    </row>
    <row r="5" spans="1:35" x14ac:dyDescent="0.3">
      <c r="A5" s="3"/>
      <c r="B5">
        <v>5</v>
      </c>
      <c r="C5" t="s">
        <v>25</v>
      </c>
      <c r="D5">
        <v>5</v>
      </c>
      <c r="E5">
        <v>5</v>
      </c>
      <c r="F5">
        <v>4</v>
      </c>
      <c r="G5">
        <v>5</v>
      </c>
      <c r="H5">
        <v>5</v>
      </c>
      <c r="I5">
        <v>5</v>
      </c>
      <c r="J5">
        <v>5</v>
      </c>
      <c r="K5">
        <v>5</v>
      </c>
      <c r="L5">
        <v>4</v>
      </c>
      <c r="M5">
        <v>5</v>
      </c>
      <c r="N5">
        <v>5</v>
      </c>
      <c r="O5">
        <v>4</v>
      </c>
      <c r="P5">
        <v>4</v>
      </c>
      <c r="Q5">
        <v>4</v>
      </c>
      <c r="R5">
        <v>5</v>
      </c>
      <c r="S5">
        <v>4</v>
      </c>
      <c r="T5">
        <v>5</v>
      </c>
      <c r="U5">
        <v>5</v>
      </c>
      <c r="V5">
        <v>4</v>
      </c>
      <c r="W5">
        <v>5</v>
      </c>
      <c r="X5">
        <v>4</v>
      </c>
      <c r="Y5">
        <v>4</v>
      </c>
      <c r="Z5">
        <v>4</v>
      </c>
      <c r="AA5">
        <v>4</v>
      </c>
      <c r="AB5">
        <v>4</v>
      </c>
      <c r="AC5">
        <v>5</v>
      </c>
      <c r="AD5">
        <v>4</v>
      </c>
      <c r="AE5">
        <v>4</v>
      </c>
      <c r="AF5">
        <v>4</v>
      </c>
      <c r="AG5">
        <v>4</v>
      </c>
      <c r="AI5">
        <f t="shared" si="0"/>
        <v>4.4666666666666668</v>
      </c>
    </row>
    <row r="6" spans="1:35" x14ac:dyDescent="0.3">
      <c r="A6" s="3"/>
      <c r="B6">
        <v>6</v>
      </c>
      <c r="C6" t="s">
        <v>26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4</v>
      </c>
      <c r="K6">
        <v>5</v>
      </c>
      <c r="L6">
        <v>4</v>
      </c>
      <c r="M6">
        <v>5</v>
      </c>
      <c r="N6">
        <v>5</v>
      </c>
      <c r="O6">
        <v>4</v>
      </c>
      <c r="P6">
        <v>4</v>
      </c>
      <c r="Q6">
        <v>5</v>
      </c>
      <c r="R6">
        <v>4</v>
      </c>
      <c r="S6">
        <v>5</v>
      </c>
      <c r="T6">
        <v>5</v>
      </c>
      <c r="U6">
        <v>5</v>
      </c>
      <c r="V6">
        <v>4</v>
      </c>
      <c r="W6">
        <v>5</v>
      </c>
      <c r="X6">
        <v>5</v>
      </c>
      <c r="Y6">
        <v>5</v>
      </c>
      <c r="Z6">
        <v>5</v>
      </c>
      <c r="AA6">
        <v>4</v>
      </c>
      <c r="AB6">
        <v>4</v>
      </c>
      <c r="AC6">
        <v>5</v>
      </c>
      <c r="AD6">
        <v>4</v>
      </c>
      <c r="AE6">
        <v>4</v>
      </c>
      <c r="AF6">
        <v>5</v>
      </c>
      <c r="AG6">
        <v>5</v>
      </c>
      <c r="AI6">
        <f t="shared" si="0"/>
        <v>4.666666666666667</v>
      </c>
    </row>
    <row r="8" spans="1:35" x14ac:dyDescent="0.3">
      <c r="AI8">
        <f>SUM(AI1:AI6)/6</f>
        <v>4.0999999999999996</v>
      </c>
    </row>
  </sheetData>
  <mergeCells count="1">
    <mergeCell ref="A1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880E-2274-4512-90D3-035D7EB5B1F1}">
  <dimension ref="A1:AI8"/>
  <sheetViews>
    <sheetView topLeftCell="P1" workbookViewId="0">
      <selection activeCell="C6" sqref="C6"/>
    </sheetView>
  </sheetViews>
  <sheetFormatPr defaultRowHeight="14.4" x14ac:dyDescent="0.3"/>
  <sheetData>
    <row r="1" spans="1:35" x14ac:dyDescent="0.3">
      <c r="A1" s="3" t="s">
        <v>13</v>
      </c>
      <c r="B1">
        <v>1</v>
      </c>
      <c r="C1" t="s">
        <v>14</v>
      </c>
      <c r="D1">
        <v>3</v>
      </c>
      <c r="E1">
        <v>3</v>
      </c>
      <c r="F1">
        <v>3</v>
      </c>
      <c r="G1">
        <v>4</v>
      </c>
      <c r="H1">
        <v>5</v>
      </c>
      <c r="I1">
        <v>4</v>
      </c>
      <c r="J1">
        <v>3</v>
      </c>
      <c r="K1">
        <v>4</v>
      </c>
      <c r="L1">
        <v>4</v>
      </c>
      <c r="M1">
        <v>4</v>
      </c>
      <c r="N1">
        <v>4</v>
      </c>
      <c r="O1">
        <v>4</v>
      </c>
      <c r="P1">
        <v>4</v>
      </c>
      <c r="Q1">
        <v>4</v>
      </c>
      <c r="R1">
        <v>4</v>
      </c>
      <c r="S1">
        <v>4</v>
      </c>
      <c r="T1">
        <v>4</v>
      </c>
      <c r="U1">
        <v>3</v>
      </c>
      <c r="V1">
        <v>4</v>
      </c>
      <c r="W1">
        <v>4</v>
      </c>
      <c r="X1">
        <v>4</v>
      </c>
      <c r="Y1">
        <v>4</v>
      </c>
      <c r="Z1">
        <v>4</v>
      </c>
      <c r="AA1">
        <v>4</v>
      </c>
      <c r="AB1">
        <v>3</v>
      </c>
      <c r="AC1">
        <v>4</v>
      </c>
      <c r="AD1">
        <v>4</v>
      </c>
      <c r="AE1">
        <v>4</v>
      </c>
      <c r="AF1">
        <v>4</v>
      </c>
      <c r="AG1">
        <v>3</v>
      </c>
      <c r="AI1">
        <f>SUM(D1:AG1)/30</f>
        <v>3.8</v>
      </c>
    </row>
    <row r="2" spans="1:35" x14ac:dyDescent="0.3">
      <c r="A2" s="3"/>
      <c r="B2">
        <v>2</v>
      </c>
      <c r="C2" t="s">
        <v>15</v>
      </c>
      <c r="D2">
        <v>5</v>
      </c>
      <c r="E2">
        <v>5</v>
      </c>
      <c r="F2">
        <v>5</v>
      </c>
      <c r="G2">
        <v>5</v>
      </c>
      <c r="H2">
        <v>3</v>
      </c>
      <c r="I2">
        <v>4</v>
      </c>
      <c r="J2">
        <v>3</v>
      </c>
      <c r="K2">
        <v>5</v>
      </c>
      <c r="L2">
        <v>4</v>
      </c>
      <c r="M2">
        <v>4</v>
      </c>
      <c r="N2">
        <v>5</v>
      </c>
      <c r="O2">
        <v>5</v>
      </c>
      <c r="P2">
        <v>4</v>
      </c>
      <c r="Q2">
        <v>4</v>
      </c>
      <c r="R2">
        <v>4</v>
      </c>
      <c r="S2">
        <v>4</v>
      </c>
      <c r="T2">
        <v>5</v>
      </c>
      <c r="U2">
        <v>5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I2">
        <f t="shared" ref="AI2:AI6" si="0">SUM(D2:AG2)/30</f>
        <v>4.2333333333333334</v>
      </c>
    </row>
    <row r="3" spans="1:35" x14ac:dyDescent="0.3">
      <c r="A3" s="3"/>
      <c r="B3">
        <v>3</v>
      </c>
      <c r="C3" t="s">
        <v>16</v>
      </c>
      <c r="D3">
        <v>5</v>
      </c>
      <c r="E3">
        <v>4</v>
      </c>
      <c r="F3">
        <v>5</v>
      </c>
      <c r="G3">
        <v>5</v>
      </c>
      <c r="H3">
        <v>3</v>
      </c>
      <c r="I3">
        <v>5</v>
      </c>
      <c r="J3">
        <v>4</v>
      </c>
      <c r="K3">
        <v>4</v>
      </c>
      <c r="L3">
        <v>4</v>
      </c>
      <c r="M3">
        <v>4</v>
      </c>
      <c r="N3">
        <v>4</v>
      </c>
      <c r="O3">
        <v>5</v>
      </c>
      <c r="P3">
        <v>4</v>
      </c>
      <c r="Q3">
        <v>4</v>
      </c>
      <c r="R3">
        <v>4</v>
      </c>
      <c r="S3">
        <v>4</v>
      </c>
      <c r="T3">
        <v>5</v>
      </c>
      <c r="U3">
        <v>5</v>
      </c>
      <c r="V3">
        <v>5</v>
      </c>
      <c r="W3">
        <v>5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3</v>
      </c>
      <c r="AE3">
        <v>4</v>
      </c>
      <c r="AF3">
        <v>4</v>
      </c>
      <c r="AG3">
        <v>3</v>
      </c>
      <c r="AI3">
        <f t="shared" si="0"/>
        <v>4.2</v>
      </c>
    </row>
    <row r="4" spans="1:35" x14ac:dyDescent="0.3">
      <c r="A4" s="3"/>
      <c r="B4">
        <v>4</v>
      </c>
      <c r="C4" t="s">
        <v>17</v>
      </c>
      <c r="D4">
        <v>5</v>
      </c>
      <c r="E4">
        <v>5</v>
      </c>
      <c r="F4">
        <v>5</v>
      </c>
      <c r="G4">
        <v>5</v>
      </c>
      <c r="H4">
        <v>4</v>
      </c>
      <c r="I4">
        <v>5</v>
      </c>
      <c r="J4">
        <v>4</v>
      </c>
      <c r="K4">
        <v>5</v>
      </c>
      <c r="L4">
        <v>4</v>
      </c>
      <c r="M4">
        <v>5</v>
      </c>
      <c r="N4">
        <v>5</v>
      </c>
      <c r="O4">
        <v>4</v>
      </c>
      <c r="P4">
        <v>5</v>
      </c>
      <c r="Q4">
        <v>4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5</v>
      </c>
      <c r="AG4">
        <v>4</v>
      </c>
      <c r="AI4">
        <f t="shared" si="0"/>
        <v>4.5666666666666664</v>
      </c>
    </row>
    <row r="5" spans="1:35" x14ac:dyDescent="0.3">
      <c r="A5" s="3"/>
      <c r="B5">
        <v>5</v>
      </c>
      <c r="C5" t="s">
        <v>18</v>
      </c>
      <c r="D5">
        <v>4</v>
      </c>
      <c r="E5">
        <v>3</v>
      </c>
      <c r="F5">
        <v>3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5</v>
      </c>
      <c r="N5">
        <v>4</v>
      </c>
      <c r="O5">
        <v>4</v>
      </c>
      <c r="P5">
        <v>4</v>
      </c>
      <c r="Q5">
        <v>5</v>
      </c>
      <c r="R5">
        <v>4</v>
      </c>
      <c r="S5">
        <v>4</v>
      </c>
      <c r="T5">
        <v>4</v>
      </c>
      <c r="U5">
        <v>3</v>
      </c>
      <c r="V5">
        <v>4</v>
      </c>
      <c r="W5">
        <v>3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3</v>
      </c>
      <c r="AF5">
        <v>4</v>
      </c>
      <c r="AG5">
        <v>4</v>
      </c>
      <c r="AI5">
        <f t="shared" si="0"/>
        <v>3.9</v>
      </c>
    </row>
    <row r="6" spans="1:35" x14ac:dyDescent="0.3">
      <c r="A6" s="3"/>
      <c r="B6">
        <v>6</v>
      </c>
      <c r="C6" t="s">
        <v>19</v>
      </c>
      <c r="D6">
        <v>5</v>
      </c>
      <c r="E6">
        <v>5</v>
      </c>
      <c r="F6">
        <v>5</v>
      </c>
      <c r="G6">
        <v>5</v>
      </c>
      <c r="H6">
        <v>4</v>
      </c>
      <c r="I6">
        <v>4</v>
      </c>
      <c r="J6">
        <v>4</v>
      </c>
      <c r="K6">
        <v>4</v>
      </c>
      <c r="L6">
        <v>3</v>
      </c>
      <c r="M6">
        <v>4</v>
      </c>
      <c r="N6">
        <v>5</v>
      </c>
      <c r="O6">
        <v>4</v>
      </c>
      <c r="P6">
        <v>4</v>
      </c>
      <c r="Q6">
        <v>4</v>
      </c>
      <c r="R6">
        <v>5</v>
      </c>
      <c r="S6">
        <v>4</v>
      </c>
      <c r="T6">
        <v>5</v>
      </c>
      <c r="U6">
        <v>4</v>
      </c>
      <c r="V6">
        <v>5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I6">
        <f t="shared" si="0"/>
        <v>4.2333333333333334</v>
      </c>
    </row>
    <row r="8" spans="1:35" x14ac:dyDescent="0.3">
      <c r="AI8">
        <f>SUM(AI1:AI6)/6</f>
        <v>4.1555555555555559</v>
      </c>
    </row>
  </sheetData>
  <mergeCells count="1">
    <mergeCell ref="A1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259E-AC68-4C95-84FE-4D466CDAFC6F}">
  <dimension ref="A1:AG5"/>
  <sheetViews>
    <sheetView topLeftCell="E1" workbookViewId="0">
      <selection activeCell="G1" sqref="G1"/>
    </sheetView>
  </sheetViews>
  <sheetFormatPr defaultRowHeight="14.4" x14ac:dyDescent="0.3"/>
  <sheetData>
    <row r="1" spans="1:33" x14ac:dyDescent="0.3">
      <c r="A1" s="3" t="s">
        <v>7</v>
      </c>
      <c r="B1">
        <v>1</v>
      </c>
      <c r="C1" t="s">
        <v>8</v>
      </c>
      <c r="D1">
        <v>5</v>
      </c>
      <c r="E1">
        <v>5</v>
      </c>
      <c r="F1">
        <v>5</v>
      </c>
      <c r="G1">
        <v>5</v>
      </c>
      <c r="H1">
        <v>4</v>
      </c>
      <c r="I1">
        <v>5</v>
      </c>
      <c r="J1">
        <v>5</v>
      </c>
      <c r="K1">
        <v>4</v>
      </c>
      <c r="L1">
        <v>5</v>
      </c>
      <c r="M1">
        <v>5</v>
      </c>
      <c r="N1">
        <v>5</v>
      </c>
      <c r="O1">
        <v>3</v>
      </c>
      <c r="P1">
        <v>4</v>
      </c>
      <c r="Q1">
        <v>4</v>
      </c>
      <c r="R1">
        <v>5</v>
      </c>
      <c r="S1">
        <v>5</v>
      </c>
      <c r="T1">
        <v>5</v>
      </c>
      <c r="U1">
        <v>5</v>
      </c>
      <c r="V1">
        <v>4</v>
      </c>
      <c r="W1">
        <v>5</v>
      </c>
      <c r="X1">
        <v>5</v>
      </c>
      <c r="Y1">
        <v>5</v>
      </c>
      <c r="Z1">
        <v>5</v>
      </c>
      <c r="AA1">
        <v>5</v>
      </c>
      <c r="AB1">
        <v>5</v>
      </c>
      <c r="AC1">
        <v>5</v>
      </c>
      <c r="AD1">
        <v>5</v>
      </c>
      <c r="AE1">
        <v>5</v>
      </c>
      <c r="AF1">
        <v>5</v>
      </c>
      <c r="AG1">
        <v>5</v>
      </c>
    </row>
    <row r="2" spans="1:33" x14ac:dyDescent="0.3">
      <c r="A2" s="3"/>
      <c r="B2">
        <v>2</v>
      </c>
      <c r="C2" t="s">
        <v>9</v>
      </c>
      <c r="D2">
        <v>5</v>
      </c>
      <c r="E2">
        <v>5</v>
      </c>
      <c r="F2">
        <v>4</v>
      </c>
      <c r="G2">
        <v>4</v>
      </c>
      <c r="H2">
        <v>5</v>
      </c>
      <c r="I2">
        <v>4</v>
      </c>
      <c r="J2">
        <v>5</v>
      </c>
      <c r="K2">
        <v>5</v>
      </c>
      <c r="L2">
        <v>5</v>
      </c>
      <c r="M2">
        <v>4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  <c r="V2">
        <v>3</v>
      </c>
      <c r="W2">
        <v>4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</row>
    <row r="3" spans="1:33" x14ac:dyDescent="0.3">
      <c r="A3" s="3"/>
      <c r="B3">
        <v>3</v>
      </c>
      <c r="C3" t="s">
        <v>10</v>
      </c>
      <c r="D3">
        <v>5</v>
      </c>
      <c r="E3">
        <v>5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3</v>
      </c>
      <c r="R3">
        <v>4</v>
      </c>
      <c r="S3">
        <v>4</v>
      </c>
      <c r="T3">
        <v>5</v>
      </c>
      <c r="U3">
        <v>5</v>
      </c>
      <c r="V3">
        <v>4</v>
      </c>
      <c r="W3">
        <v>4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</row>
    <row r="4" spans="1:33" x14ac:dyDescent="0.3">
      <c r="A4" s="3"/>
      <c r="B4">
        <v>4</v>
      </c>
      <c r="C4" t="s">
        <v>11</v>
      </c>
      <c r="D4">
        <v>3</v>
      </c>
      <c r="E4">
        <v>4</v>
      </c>
      <c r="F4">
        <v>4</v>
      </c>
      <c r="G4">
        <v>3</v>
      </c>
      <c r="H4">
        <v>5</v>
      </c>
      <c r="I4">
        <v>5</v>
      </c>
      <c r="J4">
        <v>4</v>
      </c>
      <c r="K4">
        <v>5</v>
      </c>
      <c r="L4">
        <v>4</v>
      </c>
      <c r="M4">
        <v>3</v>
      </c>
      <c r="N4">
        <v>4</v>
      </c>
      <c r="O4">
        <v>3</v>
      </c>
      <c r="P4">
        <v>5</v>
      </c>
      <c r="Q4">
        <v>4</v>
      </c>
      <c r="R4">
        <v>5</v>
      </c>
      <c r="S4">
        <v>4</v>
      </c>
      <c r="T4">
        <v>3</v>
      </c>
      <c r="U4">
        <v>3</v>
      </c>
      <c r="V4">
        <v>5</v>
      </c>
      <c r="W4">
        <v>4</v>
      </c>
      <c r="X4">
        <v>5</v>
      </c>
      <c r="Y4">
        <v>5</v>
      </c>
      <c r="Z4">
        <v>5</v>
      </c>
      <c r="AA4">
        <v>4</v>
      </c>
      <c r="AB4">
        <v>5</v>
      </c>
      <c r="AC4">
        <v>4</v>
      </c>
      <c r="AD4">
        <v>5</v>
      </c>
      <c r="AE4">
        <v>4</v>
      </c>
      <c r="AF4">
        <v>5</v>
      </c>
      <c r="AG4">
        <v>5</v>
      </c>
    </row>
    <row r="5" spans="1:33" x14ac:dyDescent="0.3">
      <c r="A5" s="3"/>
      <c r="B5">
        <v>5</v>
      </c>
      <c r="C5" t="s">
        <v>12</v>
      </c>
      <c r="D5">
        <v>3</v>
      </c>
      <c r="E5">
        <v>5</v>
      </c>
      <c r="F5">
        <v>4</v>
      </c>
      <c r="G5">
        <v>3</v>
      </c>
      <c r="H5">
        <v>5</v>
      </c>
      <c r="I5">
        <v>3</v>
      </c>
      <c r="J5">
        <v>4</v>
      </c>
      <c r="K5">
        <v>4</v>
      </c>
      <c r="L5">
        <v>4</v>
      </c>
      <c r="M5">
        <v>3</v>
      </c>
      <c r="N5">
        <v>4</v>
      </c>
      <c r="O5">
        <v>3</v>
      </c>
      <c r="P5">
        <v>3</v>
      </c>
      <c r="Q5">
        <v>4</v>
      </c>
      <c r="R5">
        <v>4</v>
      </c>
      <c r="S5">
        <v>3</v>
      </c>
      <c r="T5">
        <v>3</v>
      </c>
      <c r="U5">
        <v>5</v>
      </c>
      <c r="V5">
        <v>4</v>
      </c>
      <c r="W5">
        <v>5</v>
      </c>
      <c r="X5">
        <v>5</v>
      </c>
      <c r="Y5">
        <v>5</v>
      </c>
      <c r="Z5">
        <v>4</v>
      </c>
      <c r="AA5">
        <v>4</v>
      </c>
      <c r="AB5">
        <v>4</v>
      </c>
      <c r="AC5">
        <v>5</v>
      </c>
      <c r="AD5">
        <v>5</v>
      </c>
      <c r="AE5">
        <v>5</v>
      </c>
      <c r="AF5">
        <v>5</v>
      </c>
      <c r="AG5">
        <v>5</v>
      </c>
    </row>
  </sheetData>
  <mergeCells count="1">
    <mergeCell ref="A1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5A32-F424-407F-8BA6-E64C6FBE9A40}">
  <dimension ref="A1:AG7"/>
  <sheetViews>
    <sheetView topLeftCell="J1" zoomScale="192" workbookViewId="0">
      <selection activeCell="P2" sqref="P2:Q2"/>
    </sheetView>
  </sheetViews>
  <sheetFormatPr defaultRowHeight="14.4" x14ac:dyDescent="0.3"/>
  <cols>
    <col min="1" max="1" width="21.77734375" customWidth="1"/>
    <col min="3" max="3" width="37.109375" customWidth="1"/>
  </cols>
  <sheetData>
    <row r="1" spans="1:33" x14ac:dyDescent="0.3">
      <c r="C1" s="1" t="s">
        <v>0</v>
      </c>
      <c r="D1" s="3" t="s">
        <v>53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x14ac:dyDescent="0.3">
      <c r="A2" s="3" t="s">
        <v>46</v>
      </c>
      <c r="B2">
        <v>1</v>
      </c>
      <c r="C2" t="s">
        <v>47</v>
      </c>
      <c r="D2" s="4" t="s">
        <v>54</v>
      </c>
      <c r="E2" s="4" t="s">
        <v>61</v>
      </c>
      <c r="F2" s="5" t="s">
        <v>54</v>
      </c>
      <c r="G2" s="5" t="s">
        <v>61</v>
      </c>
      <c r="H2" s="4" t="s">
        <v>61</v>
      </c>
      <c r="I2" s="4" t="s">
        <v>54</v>
      </c>
      <c r="J2" s="5" t="s">
        <v>61</v>
      </c>
      <c r="K2" s="5" t="s">
        <v>54</v>
      </c>
      <c r="L2" s="4" t="s">
        <v>61</v>
      </c>
      <c r="M2" s="4" t="s">
        <v>54</v>
      </c>
      <c r="N2" s="6" t="s">
        <v>61</v>
      </c>
      <c r="O2" s="6" t="s">
        <v>54</v>
      </c>
      <c r="P2" s="6" t="s">
        <v>61</v>
      </c>
      <c r="Q2" s="6" t="s">
        <v>54</v>
      </c>
      <c r="R2" s="5" t="s">
        <v>61</v>
      </c>
      <c r="S2" s="5" t="s">
        <v>54</v>
      </c>
      <c r="T2" s="4" t="s">
        <v>54</v>
      </c>
      <c r="U2" s="4" t="s">
        <v>61</v>
      </c>
      <c r="V2" s="5" t="s">
        <v>54</v>
      </c>
      <c r="W2" s="5" t="s">
        <v>61</v>
      </c>
      <c r="X2" s="4" t="s">
        <v>61</v>
      </c>
      <c r="Y2" s="4" t="s">
        <v>54</v>
      </c>
      <c r="Z2" s="5" t="s">
        <v>61</v>
      </c>
      <c r="AA2" s="5" t="s">
        <v>54</v>
      </c>
      <c r="AB2" s="4" t="s">
        <v>61</v>
      </c>
      <c r="AC2" s="4" t="s">
        <v>54</v>
      </c>
      <c r="AD2" s="5" t="s">
        <v>61</v>
      </c>
      <c r="AE2" s="5" t="s">
        <v>54</v>
      </c>
      <c r="AF2" s="4" t="s">
        <v>61</v>
      </c>
      <c r="AG2" s="4" t="s">
        <v>54</v>
      </c>
    </row>
    <row r="3" spans="1:33" x14ac:dyDescent="0.3">
      <c r="A3" s="3"/>
      <c r="B3">
        <v>2</v>
      </c>
      <c r="C3" t="s">
        <v>48</v>
      </c>
      <c r="D3" t="s">
        <v>60</v>
      </c>
      <c r="E3" t="s">
        <v>62</v>
      </c>
      <c r="F3" t="s">
        <v>66</v>
      </c>
      <c r="G3" t="s">
        <v>62</v>
      </c>
      <c r="H3" t="s">
        <v>62</v>
      </c>
      <c r="I3" t="s">
        <v>77</v>
      </c>
      <c r="J3" t="s">
        <v>62</v>
      </c>
      <c r="K3" t="s">
        <v>60</v>
      </c>
      <c r="L3" t="s">
        <v>62</v>
      </c>
      <c r="M3" t="s">
        <v>81</v>
      </c>
      <c r="N3" t="s">
        <v>62</v>
      </c>
      <c r="O3" t="s">
        <v>77</v>
      </c>
      <c r="P3" t="s">
        <v>60</v>
      </c>
      <c r="Q3" t="s">
        <v>66</v>
      </c>
      <c r="R3" t="s">
        <v>62</v>
      </c>
      <c r="S3" t="s">
        <v>66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81</v>
      </c>
      <c r="Z3" t="s">
        <v>62</v>
      </c>
      <c r="AA3" t="s">
        <v>77</v>
      </c>
      <c r="AB3" t="s">
        <v>60</v>
      </c>
      <c r="AC3" t="s">
        <v>81</v>
      </c>
      <c r="AD3" t="s">
        <v>62</v>
      </c>
      <c r="AE3" t="s">
        <v>77</v>
      </c>
      <c r="AF3" t="s">
        <v>77</v>
      </c>
      <c r="AG3" t="s">
        <v>81</v>
      </c>
    </row>
    <row r="4" spans="1:33" x14ac:dyDescent="0.3">
      <c r="A4" s="3"/>
      <c r="B4">
        <v>3</v>
      </c>
      <c r="C4" t="s">
        <v>49</v>
      </c>
      <c r="D4" s="2" t="s">
        <v>55</v>
      </c>
      <c r="E4" s="2" t="s">
        <v>55</v>
      </c>
      <c r="F4" s="2" t="s">
        <v>55</v>
      </c>
      <c r="G4" s="2" t="s">
        <v>55</v>
      </c>
      <c r="H4" s="2" t="s">
        <v>55</v>
      </c>
      <c r="I4" s="2" t="s">
        <v>55</v>
      </c>
      <c r="J4" s="2" t="s">
        <v>55</v>
      </c>
      <c r="K4" s="2" t="s">
        <v>55</v>
      </c>
      <c r="L4" s="2" t="s">
        <v>55</v>
      </c>
      <c r="M4" t="s">
        <v>82</v>
      </c>
      <c r="N4" s="2" t="s">
        <v>55</v>
      </c>
      <c r="O4" s="2" t="s">
        <v>55</v>
      </c>
      <c r="P4" t="s">
        <v>83</v>
      </c>
      <c r="Q4" t="s">
        <v>83</v>
      </c>
      <c r="R4" s="2" t="s">
        <v>55</v>
      </c>
      <c r="S4" s="2" t="s">
        <v>89</v>
      </c>
      <c r="T4" s="2" t="s">
        <v>89</v>
      </c>
      <c r="U4" t="s">
        <v>83</v>
      </c>
      <c r="V4" s="2" t="s">
        <v>89</v>
      </c>
      <c r="W4" t="s">
        <v>83</v>
      </c>
      <c r="X4" s="2" t="s">
        <v>55</v>
      </c>
      <c r="Y4" t="s">
        <v>82</v>
      </c>
      <c r="Z4" s="2" t="s">
        <v>55</v>
      </c>
      <c r="AA4" s="2" t="s">
        <v>55</v>
      </c>
      <c r="AB4" s="2" t="s">
        <v>55</v>
      </c>
      <c r="AC4" t="s">
        <v>82</v>
      </c>
      <c r="AD4" s="2" t="s">
        <v>55</v>
      </c>
      <c r="AE4" t="s">
        <v>82</v>
      </c>
      <c r="AF4" s="2" t="s">
        <v>55</v>
      </c>
      <c r="AG4" t="s">
        <v>82</v>
      </c>
    </row>
    <row r="5" spans="1:33" x14ac:dyDescent="0.3">
      <c r="A5" s="3"/>
      <c r="B5">
        <v>4</v>
      </c>
      <c r="C5" t="s">
        <v>50</v>
      </c>
      <c r="D5" t="s">
        <v>56</v>
      </c>
      <c r="E5" t="s">
        <v>56</v>
      </c>
      <c r="F5" t="s">
        <v>67</v>
      </c>
      <c r="G5" t="s">
        <v>67</v>
      </c>
      <c r="H5" t="s">
        <v>75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75</v>
      </c>
      <c r="Q5" t="s">
        <v>75</v>
      </c>
      <c r="R5" t="s">
        <v>75</v>
      </c>
      <c r="S5" t="s">
        <v>75</v>
      </c>
      <c r="T5" t="s">
        <v>92</v>
      </c>
      <c r="U5" t="s">
        <v>97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56</v>
      </c>
      <c r="AG5" t="s">
        <v>56</v>
      </c>
    </row>
    <row r="6" spans="1:33" x14ac:dyDescent="0.3">
      <c r="A6" s="3"/>
      <c r="B6">
        <v>5</v>
      </c>
      <c r="C6" t="s">
        <v>51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  <c r="T6" t="s">
        <v>93</v>
      </c>
      <c r="U6" t="s">
        <v>93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</row>
    <row r="7" spans="1:33" x14ac:dyDescent="0.3">
      <c r="D7">
        <v>3</v>
      </c>
      <c r="E7">
        <v>3</v>
      </c>
      <c r="F7">
        <v>2</v>
      </c>
      <c r="G7">
        <v>2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 t="s">
        <v>114</v>
      </c>
      <c r="U7" t="s">
        <v>114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3</v>
      </c>
      <c r="AG7">
        <v>3</v>
      </c>
    </row>
  </sheetData>
  <mergeCells count="2">
    <mergeCell ref="A2:A6"/>
    <mergeCell ref="D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Functionality</vt:lpstr>
      <vt:lpstr>OpenEnded</vt:lpstr>
      <vt:lpstr>Maintainability</vt:lpstr>
      <vt:lpstr>Compatibility&amp;Portability</vt:lpstr>
      <vt:lpstr>Security</vt:lpstr>
      <vt:lpstr>PerformanceEfficiency</vt:lpstr>
      <vt:lpstr>Reliability</vt:lpstr>
      <vt:lpstr>Usability</vt:lpstr>
      <vt:lpstr>Demographic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jdyumul@outlook.com</cp:lastModifiedBy>
  <dcterms:created xsi:type="dcterms:W3CDTF">2025-11-27T14:10:55Z</dcterms:created>
  <dcterms:modified xsi:type="dcterms:W3CDTF">2025-11-28T12:17:22Z</dcterms:modified>
</cp:coreProperties>
</file>